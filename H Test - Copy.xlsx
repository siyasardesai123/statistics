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tamites\Documents\Data\Statistics\"/>
    </mc:Choice>
  </mc:AlternateContent>
  <bookViews>
    <workbookView xWindow="0" yWindow="0" windowWidth="20490" windowHeight="7755" activeTab="4"/>
  </bookViews>
  <sheets>
    <sheet name="Data" sheetId="1" r:id="rId1"/>
    <sheet name="T-test" sheetId="2" r:id="rId2"/>
    <sheet name="Paired T-test" sheetId="3" r:id="rId3"/>
    <sheet name="Anova" sheetId="4" r:id="rId4"/>
    <sheet name="Chi Square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  <c r="G23" i="6" l="1"/>
  <c r="G24" i="6"/>
  <c r="J24" i="6" l="1"/>
  <c r="I24" i="6"/>
  <c r="H24" i="6"/>
  <c r="J23" i="6"/>
  <c r="I23" i="6"/>
  <c r="H23" i="6"/>
  <c r="E10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<sst xmlns="http://schemas.openxmlformats.org/spreadsheetml/2006/main" count="135" uniqueCount="36">
  <si>
    <t>S.No</t>
  </si>
  <si>
    <t>Experience</t>
  </si>
  <si>
    <t>Gender</t>
  </si>
  <si>
    <t>Role</t>
  </si>
  <si>
    <t>Salary</t>
  </si>
  <si>
    <t>Female</t>
  </si>
  <si>
    <t>Sr.Executive</t>
  </si>
  <si>
    <t>Male</t>
  </si>
  <si>
    <t>Manager</t>
  </si>
  <si>
    <t>Executive</t>
  </si>
  <si>
    <t>Sr.Manager</t>
  </si>
  <si>
    <t>H0: There is no significant difference between two groups</t>
  </si>
  <si>
    <t>Blood Pressure</t>
  </si>
  <si>
    <t>Before</t>
  </si>
  <si>
    <t>After</t>
  </si>
  <si>
    <t>One Way Anova is used to determine if there is a significant difference among the groups</t>
  </si>
  <si>
    <t xml:space="preserve"> </t>
  </si>
  <si>
    <t>H0: There is no significant difference among the groups</t>
  </si>
  <si>
    <t>level of significance: 0.05</t>
  </si>
  <si>
    <t>Anova: Single Factor</t>
  </si>
  <si>
    <t>Chi-Square is to find the association between two categorical variables.</t>
  </si>
  <si>
    <t>observed frequency</t>
  </si>
  <si>
    <t>Expected Frequency = (row total*column total)/grand total</t>
  </si>
  <si>
    <t>P.vlaue - what is the chance to aceept the H0</t>
  </si>
  <si>
    <t>P-value</t>
  </si>
  <si>
    <t>chitest()</t>
  </si>
  <si>
    <t>If p.value is &gt; alpha</t>
  </si>
  <si>
    <t>H0: There is no association between two categorical features</t>
  </si>
  <si>
    <t>if p.value&gt;alpha value - accept the H0</t>
  </si>
  <si>
    <t>if p.value&lt;alpha value - reject H0</t>
  </si>
  <si>
    <t>Observed Frequency</t>
  </si>
  <si>
    <t>Expected Frequency</t>
  </si>
  <si>
    <t>CHITEST()</t>
  </si>
  <si>
    <t>P.Value</t>
  </si>
  <si>
    <t>t-Test: Two-Sample Assuming Equal Variances</t>
  </si>
  <si>
    <t>t-Test: Paired Two Sample for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</si>
</sst>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1E1E1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3" fontId="1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0" xfId="0" applyFont="1"/>
    <xf numFmtId="49" fontId="0" fillId="0" borderId="0" xfId="0" applyNumberFormat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2" sqref="D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>
        <v>4.5</v>
      </c>
      <c r="C2" s="4" t="s">
        <v>5</v>
      </c>
      <c r="D2" s="4" t="s">
        <v>6</v>
      </c>
      <c r="E2" s="5">
        <v>1000000</v>
      </c>
    </row>
    <row r="3" spans="1:5" x14ac:dyDescent="0.25">
      <c r="A3" s="2">
        <f>A2+1</f>
        <v>2</v>
      </c>
      <c r="B3" s="3">
        <v>9</v>
      </c>
      <c r="C3" s="4" t="s">
        <v>7</v>
      </c>
      <c r="D3" s="4" t="s">
        <v>8</v>
      </c>
      <c r="E3" s="5">
        <v>1258000</v>
      </c>
    </row>
    <row r="4" spans="1:5" x14ac:dyDescent="0.25">
      <c r="A4" s="2">
        <f t="shared" ref="A4:A14" si="0">A3+1</f>
        <v>3</v>
      </c>
      <c r="B4" s="3">
        <v>3.6</v>
      </c>
      <c r="C4" s="4" t="s">
        <v>7</v>
      </c>
      <c r="D4" s="4" t="s">
        <v>6</v>
      </c>
      <c r="E4" s="5">
        <v>908000</v>
      </c>
    </row>
    <row r="5" spans="1:5" x14ac:dyDescent="0.25">
      <c r="A5" s="2">
        <f t="shared" si="0"/>
        <v>4</v>
      </c>
      <c r="B5" s="3">
        <v>8</v>
      </c>
      <c r="C5" s="4" t="s">
        <v>7</v>
      </c>
      <c r="D5" s="4" t="s">
        <v>6</v>
      </c>
      <c r="E5" s="5">
        <v>840000</v>
      </c>
    </row>
    <row r="6" spans="1:5" x14ac:dyDescent="0.25">
      <c r="A6" s="2">
        <f t="shared" si="0"/>
        <v>5</v>
      </c>
      <c r="B6" s="3">
        <v>1</v>
      </c>
      <c r="C6" s="4" t="s">
        <v>5</v>
      </c>
      <c r="D6" s="4" t="s">
        <v>9</v>
      </c>
      <c r="E6" s="5">
        <v>500000</v>
      </c>
    </row>
    <row r="7" spans="1:5" x14ac:dyDescent="0.25">
      <c r="A7" s="2">
        <f t="shared" si="0"/>
        <v>6</v>
      </c>
      <c r="B7" s="3">
        <v>12</v>
      </c>
      <c r="C7" s="4" t="s">
        <v>5</v>
      </c>
      <c r="D7" s="4" t="s">
        <v>10</v>
      </c>
      <c r="E7" s="5">
        <v>1500000</v>
      </c>
    </row>
    <row r="8" spans="1:5" x14ac:dyDescent="0.25">
      <c r="A8" s="2">
        <f t="shared" si="0"/>
        <v>7</v>
      </c>
      <c r="B8" s="3">
        <v>4</v>
      </c>
      <c r="C8" s="4" t="s">
        <v>7</v>
      </c>
      <c r="D8" s="4" t="s">
        <v>6</v>
      </c>
      <c r="E8" s="5">
        <v>800000</v>
      </c>
    </row>
    <row r="9" spans="1:5" x14ac:dyDescent="0.25">
      <c r="A9" s="2">
        <f t="shared" si="0"/>
        <v>8</v>
      </c>
      <c r="B9" s="3">
        <v>5.5</v>
      </c>
      <c r="C9" s="4" t="s">
        <v>5</v>
      </c>
      <c r="D9" s="4" t="s">
        <v>8</v>
      </c>
      <c r="E9" s="5">
        <v>1250000</v>
      </c>
    </row>
    <row r="10" spans="1:5" x14ac:dyDescent="0.25">
      <c r="A10" s="2">
        <f t="shared" si="0"/>
        <v>9</v>
      </c>
      <c r="B10" s="3">
        <v>2.2999999999999998</v>
      </c>
      <c r="C10" s="4" t="s">
        <v>7</v>
      </c>
      <c r="D10" s="4" t="s">
        <v>9</v>
      </c>
      <c r="E10" s="5">
        <v>550000</v>
      </c>
    </row>
    <row r="11" spans="1:5" x14ac:dyDescent="0.25">
      <c r="A11" s="2">
        <f t="shared" si="0"/>
        <v>10</v>
      </c>
      <c r="B11" s="3">
        <v>1.9</v>
      </c>
      <c r="C11" s="4" t="s">
        <v>7</v>
      </c>
      <c r="D11" s="4" t="s">
        <v>9</v>
      </c>
      <c r="E11" s="5">
        <v>630000</v>
      </c>
    </row>
    <row r="12" spans="1:5" x14ac:dyDescent="0.25">
      <c r="A12" s="2">
        <f t="shared" si="0"/>
        <v>11</v>
      </c>
      <c r="B12" s="3">
        <v>9.5</v>
      </c>
      <c r="C12" s="4" t="s">
        <v>5</v>
      </c>
      <c r="D12" s="4" t="s">
        <v>8</v>
      </c>
      <c r="E12" s="5">
        <v>1100000</v>
      </c>
    </row>
    <row r="13" spans="1:5" x14ac:dyDescent="0.25">
      <c r="A13" s="2">
        <f t="shared" si="0"/>
        <v>12</v>
      </c>
      <c r="B13" s="3">
        <v>14</v>
      </c>
      <c r="C13" s="4" t="s">
        <v>7</v>
      </c>
      <c r="D13" s="4" t="s">
        <v>10</v>
      </c>
      <c r="E13" s="5">
        <v>1630000</v>
      </c>
    </row>
    <row r="14" spans="1:5" x14ac:dyDescent="0.25">
      <c r="A14" s="2">
        <f t="shared" si="0"/>
        <v>13</v>
      </c>
      <c r="B14" s="3">
        <v>3</v>
      </c>
      <c r="C14" s="4" t="s">
        <v>7</v>
      </c>
      <c r="D14" s="4" t="s">
        <v>9</v>
      </c>
      <c r="E14" s="5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3" workbookViewId="0">
      <selection activeCell="I18" sqref="I18"/>
    </sheetView>
  </sheetViews>
  <sheetFormatPr defaultRowHeight="15" x14ac:dyDescent="0.25"/>
  <sheetData>
    <row r="1" spans="1:7" x14ac:dyDescent="0.25">
      <c r="A1" s="1" t="s">
        <v>2</v>
      </c>
      <c r="B1" s="1" t="s">
        <v>4</v>
      </c>
      <c r="D1" s="6" t="s">
        <v>5</v>
      </c>
      <c r="E1" s="6" t="s">
        <v>7</v>
      </c>
      <c r="G1" t="s">
        <v>11</v>
      </c>
    </row>
    <row r="2" spans="1:7" x14ac:dyDescent="0.25">
      <c r="A2" s="4" t="s">
        <v>5</v>
      </c>
      <c r="B2" s="5">
        <v>1000000</v>
      </c>
      <c r="D2" s="5">
        <v>500000</v>
      </c>
      <c r="E2" s="5">
        <v>550000</v>
      </c>
    </row>
    <row r="3" spans="1:7" x14ac:dyDescent="0.25">
      <c r="A3" s="4" t="s">
        <v>7</v>
      </c>
      <c r="B3" s="5">
        <v>1258000</v>
      </c>
      <c r="D3" s="5">
        <v>1000000</v>
      </c>
      <c r="E3" s="5">
        <v>600000</v>
      </c>
    </row>
    <row r="4" spans="1:7" x14ac:dyDescent="0.25">
      <c r="A4" s="4" t="s">
        <v>7</v>
      </c>
      <c r="B4" s="5">
        <v>908000</v>
      </c>
      <c r="D4" s="5">
        <v>1100000</v>
      </c>
      <c r="E4" s="5">
        <v>630000</v>
      </c>
    </row>
    <row r="5" spans="1:7" x14ac:dyDescent="0.25">
      <c r="A5" s="4" t="s">
        <v>7</v>
      </c>
      <c r="B5" s="5">
        <v>840000</v>
      </c>
      <c r="D5" s="5">
        <v>1250000</v>
      </c>
      <c r="E5" s="5">
        <v>800000</v>
      </c>
    </row>
    <row r="6" spans="1:7" x14ac:dyDescent="0.25">
      <c r="A6" s="4" t="s">
        <v>5</v>
      </c>
      <c r="B6" s="5">
        <v>500000</v>
      </c>
      <c r="D6" s="5">
        <v>1500000</v>
      </c>
      <c r="E6" s="5">
        <v>840000</v>
      </c>
    </row>
    <row r="7" spans="1:7" x14ac:dyDescent="0.25">
      <c r="A7" s="4" t="s">
        <v>5</v>
      </c>
      <c r="B7" s="5">
        <v>1500000</v>
      </c>
      <c r="D7" s="7"/>
      <c r="E7" s="5">
        <v>908000</v>
      </c>
    </row>
    <row r="8" spans="1:7" x14ac:dyDescent="0.25">
      <c r="A8" s="4" t="s">
        <v>7</v>
      </c>
      <c r="B8" s="5">
        <v>800000</v>
      </c>
      <c r="D8" s="7"/>
      <c r="E8" s="5">
        <v>1258000</v>
      </c>
    </row>
    <row r="9" spans="1:7" x14ac:dyDescent="0.25">
      <c r="A9" s="4" t="s">
        <v>5</v>
      </c>
      <c r="B9" s="5">
        <v>1250000</v>
      </c>
      <c r="D9" s="7"/>
      <c r="E9" s="5">
        <v>1630000</v>
      </c>
    </row>
    <row r="10" spans="1:7" x14ac:dyDescent="0.25">
      <c r="A10" s="4" t="s">
        <v>7</v>
      </c>
      <c r="B10" s="5">
        <v>550000</v>
      </c>
      <c r="D10" s="8">
        <f>AVERAGE(D2:D9)</f>
        <v>1070000</v>
      </c>
      <c r="E10" s="8">
        <f>AVERAGE(E2:E9)</f>
        <v>902000</v>
      </c>
    </row>
    <row r="11" spans="1:7" x14ac:dyDescent="0.25">
      <c r="A11" s="4" t="s">
        <v>7</v>
      </c>
      <c r="B11" s="5">
        <v>630000</v>
      </c>
    </row>
    <row r="12" spans="1:7" x14ac:dyDescent="0.25">
      <c r="A12" s="4" t="s">
        <v>5</v>
      </c>
      <c r="B12" s="5">
        <v>1100000</v>
      </c>
    </row>
    <row r="13" spans="1:7" x14ac:dyDescent="0.25">
      <c r="A13" s="4" t="s">
        <v>7</v>
      </c>
      <c r="B13" s="5">
        <v>1630000</v>
      </c>
    </row>
    <row r="14" spans="1:7" x14ac:dyDescent="0.25">
      <c r="A14" s="4" t="s">
        <v>7</v>
      </c>
      <c r="B14" s="5">
        <v>600000</v>
      </c>
    </row>
    <row r="15" spans="1:7" x14ac:dyDescent="0.25">
      <c r="F15" t="s">
        <v>34</v>
      </c>
    </row>
    <row r="25" spans="5:8" x14ac:dyDescent="0.25">
      <c r="H25" s="18"/>
    </row>
    <row r="30" spans="5:8" x14ac:dyDescent="0.25">
      <c r="E30" s="16"/>
      <c r="F30" s="16"/>
      <c r="G30" s="16"/>
    </row>
    <row r="31" spans="5:8" x14ac:dyDescent="0.25">
      <c r="E31" s="16"/>
      <c r="F31" s="16"/>
      <c r="G31" s="16"/>
    </row>
    <row r="32" spans="5:8" x14ac:dyDescent="0.25">
      <c r="E32" s="16"/>
      <c r="F32" s="16"/>
      <c r="G32" s="16"/>
    </row>
    <row r="33" spans="5:7" x14ac:dyDescent="0.25">
      <c r="E33" s="16"/>
      <c r="F33" s="16"/>
      <c r="G33" s="16"/>
    </row>
    <row r="34" spans="5:7" ht="15.75" thickBot="1" x14ac:dyDescent="0.3">
      <c r="E34" s="17"/>
      <c r="F34" s="17"/>
      <c r="G3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5"/>
  <sheetViews>
    <sheetView workbookViewId="0">
      <selection activeCell="K16" sqref="K16"/>
    </sheetView>
  </sheetViews>
  <sheetFormatPr defaultRowHeight="15" x14ac:dyDescent="0.25"/>
  <sheetData>
    <row r="2" spans="2:13" x14ac:dyDescent="0.25">
      <c r="B2" t="s">
        <v>11</v>
      </c>
    </row>
    <row r="4" spans="2:13" x14ac:dyDescent="0.25">
      <c r="B4" s="20" t="s">
        <v>12</v>
      </c>
      <c r="C4" s="7" t="s">
        <v>13</v>
      </c>
      <c r="D4" s="5">
        <v>140</v>
      </c>
      <c r="E4" s="7">
        <v>135</v>
      </c>
      <c r="F4" s="7">
        <v>150</v>
      </c>
      <c r="G4" s="7">
        <v>155</v>
      </c>
      <c r="H4" s="7">
        <v>160</v>
      </c>
      <c r="I4" s="7">
        <v>145</v>
      </c>
      <c r="J4" s="7">
        <v>148</v>
      </c>
      <c r="K4" s="7">
        <v>165</v>
      </c>
      <c r="L4" s="7">
        <v>152</v>
      </c>
      <c r="M4" s="7">
        <v>158</v>
      </c>
    </row>
    <row r="5" spans="2:13" x14ac:dyDescent="0.25">
      <c r="B5" s="20"/>
      <c r="C5" s="7" t="s">
        <v>14</v>
      </c>
      <c r="D5" s="7">
        <v>130</v>
      </c>
      <c r="E5" s="7">
        <v>125</v>
      </c>
      <c r="F5" s="7">
        <v>135</v>
      </c>
      <c r="G5" s="7">
        <v>140</v>
      </c>
      <c r="H5" s="7">
        <v>145</v>
      </c>
      <c r="I5" s="7">
        <v>135</v>
      </c>
      <c r="J5" s="7">
        <v>140</v>
      </c>
      <c r="K5" s="7">
        <v>150</v>
      </c>
      <c r="L5" s="7">
        <v>138</v>
      </c>
      <c r="M5" s="7">
        <v>142</v>
      </c>
    </row>
    <row r="9" spans="2:13" x14ac:dyDescent="0.25">
      <c r="C9" t="s">
        <v>35</v>
      </c>
    </row>
    <row r="11" spans="2:13" x14ac:dyDescent="0.25">
      <c r="H11" s="19"/>
    </row>
    <row r="25" spans="9:11" x14ac:dyDescent="0.25">
      <c r="I25" s="16"/>
      <c r="J25" s="16"/>
      <c r="K25" s="16"/>
    </row>
    <row r="26" spans="9:11" x14ac:dyDescent="0.25">
      <c r="I26" s="16"/>
      <c r="J26" s="16"/>
      <c r="K26" s="16"/>
    </row>
    <row r="27" spans="9:11" x14ac:dyDescent="0.25">
      <c r="I27" s="16"/>
      <c r="J27" s="16"/>
      <c r="K27" s="16"/>
    </row>
    <row r="28" spans="9:11" x14ac:dyDescent="0.25">
      <c r="I28" s="16"/>
      <c r="J28" s="16"/>
      <c r="K28" s="16"/>
    </row>
    <row r="29" spans="9:11" x14ac:dyDescent="0.25">
      <c r="I29" s="16"/>
      <c r="J29" s="16"/>
      <c r="K29" s="16"/>
    </row>
    <row r="30" spans="9:11" x14ac:dyDescent="0.25">
      <c r="I30" s="16"/>
      <c r="J30" s="16"/>
      <c r="K30" s="16"/>
    </row>
    <row r="31" spans="9:11" x14ac:dyDescent="0.25">
      <c r="I31" s="16"/>
      <c r="J31" s="16"/>
      <c r="K31" s="16"/>
    </row>
    <row r="32" spans="9:11" x14ac:dyDescent="0.25">
      <c r="I32" s="16"/>
      <c r="J32" s="16"/>
      <c r="K32" s="16"/>
    </row>
    <row r="33" spans="9:11" x14ac:dyDescent="0.25">
      <c r="I33" s="16"/>
      <c r="J33" s="16"/>
      <c r="K33" s="16"/>
    </row>
    <row r="34" spans="9:11" x14ac:dyDescent="0.25">
      <c r="I34" s="16"/>
      <c r="J34" s="16"/>
      <c r="K34" s="16"/>
    </row>
    <row r="35" spans="9:11" ht="15.75" thickBot="1" x14ac:dyDescent="0.3">
      <c r="I35" s="17"/>
      <c r="J35" s="17"/>
      <c r="K35" s="17"/>
    </row>
  </sheetData>
  <mergeCells count="1"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workbookViewId="0">
      <selection activeCell="L31" sqref="L31"/>
    </sheetView>
  </sheetViews>
  <sheetFormatPr defaultRowHeight="15" x14ac:dyDescent="0.25"/>
  <sheetData>
    <row r="2" spans="2:10" x14ac:dyDescent="0.25">
      <c r="B2" t="s">
        <v>15</v>
      </c>
      <c r="J2" t="s">
        <v>16</v>
      </c>
    </row>
    <row r="5" spans="2:10" x14ac:dyDescent="0.25">
      <c r="B5" s="1" t="s">
        <v>3</v>
      </c>
      <c r="C5" s="1" t="s">
        <v>4</v>
      </c>
    </row>
    <row r="6" spans="2:10" x14ac:dyDescent="0.25">
      <c r="B6" s="4" t="s">
        <v>6</v>
      </c>
      <c r="C6" s="5">
        <v>1000000</v>
      </c>
    </row>
    <row r="7" spans="2:10" x14ac:dyDescent="0.25">
      <c r="B7" s="4" t="s">
        <v>8</v>
      </c>
      <c r="C7" s="5">
        <v>1258000</v>
      </c>
      <c r="E7" s="9"/>
      <c r="F7" s="10" t="s">
        <v>9</v>
      </c>
      <c r="G7" s="10" t="s">
        <v>6</v>
      </c>
      <c r="H7" s="10" t="s">
        <v>8</v>
      </c>
      <c r="I7" s="10" t="s">
        <v>10</v>
      </c>
    </row>
    <row r="8" spans="2:10" x14ac:dyDescent="0.25">
      <c r="B8" s="4" t="s">
        <v>6</v>
      </c>
      <c r="C8" s="5">
        <v>908000</v>
      </c>
      <c r="E8" s="7"/>
      <c r="F8" s="11">
        <v>500000</v>
      </c>
      <c r="G8" s="11">
        <v>800000</v>
      </c>
      <c r="H8" s="11">
        <v>1100000</v>
      </c>
      <c r="I8" s="11">
        <v>1500000</v>
      </c>
    </row>
    <row r="9" spans="2:10" x14ac:dyDescent="0.25">
      <c r="B9" s="4" t="s">
        <v>6</v>
      </c>
      <c r="C9" s="5">
        <v>840000</v>
      </c>
      <c r="E9" s="7"/>
      <c r="F9" s="11">
        <v>550000</v>
      </c>
      <c r="G9" s="11">
        <v>840000</v>
      </c>
      <c r="H9" s="11">
        <v>1250000</v>
      </c>
      <c r="I9" s="11">
        <v>1630000</v>
      </c>
    </row>
    <row r="10" spans="2:10" x14ac:dyDescent="0.25">
      <c r="B10" s="4" t="s">
        <v>9</v>
      </c>
      <c r="C10" s="5">
        <v>500000</v>
      </c>
      <c r="E10" s="7"/>
      <c r="F10" s="11">
        <v>600000</v>
      </c>
      <c r="G10" s="11">
        <v>908000</v>
      </c>
      <c r="H10" s="11">
        <v>1258000</v>
      </c>
      <c r="I10" s="11"/>
    </row>
    <row r="11" spans="2:10" x14ac:dyDescent="0.25">
      <c r="B11" s="4" t="s">
        <v>10</v>
      </c>
      <c r="C11" s="5">
        <v>1500000</v>
      </c>
      <c r="E11" s="7"/>
      <c r="F11" s="11">
        <v>630000</v>
      </c>
      <c r="G11" s="11">
        <v>1000000</v>
      </c>
      <c r="H11" s="7"/>
      <c r="I11" s="7"/>
    </row>
    <row r="12" spans="2:10" x14ac:dyDescent="0.25">
      <c r="B12" s="4" t="s">
        <v>6</v>
      </c>
      <c r="C12" s="5">
        <v>800000</v>
      </c>
    </row>
    <row r="13" spans="2:10" x14ac:dyDescent="0.25">
      <c r="B13" s="4" t="s">
        <v>8</v>
      </c>
      <c r="C13" s="5">
        <v>1250000</v>
      </c>
      <c r="E13" t="s">
        <v>17</v>
      </c>
    </row>
    <row r="14" spans="2:10" x14ac:dyDescent="0.25">
      <c r="B14" s="4" t="s">
        <v>9</v>
      </c>
      <c r="C14" s="5">
        <v>550000</v>
      </c>
      <c r="E14" t="s">
        <v>18</v>
      </c>
    </row>
    <row r="15" spans="2:10" x14ac:dyDescent="0.25">
      <c r="B15" s="4" t="s">
        <v>9</v>
      </c>
      <c r="C15" s="5">
        <v>630000</v>
      </c>
    </row>
    <row r="16" spans="2:10" x14ac:dyDescent="0.25">
      <c r="B16" s="4" t="s">
        <v>8</v>
      </c>
      <c r="C16" s="5">
        <v>1100000</v>
      </c>
    </row>
    <row r="17" spans="2:6" x14ac:dyDescent="0.25">
      <c r="B17" s="4" t="s">
        <v>10</v>
      </c>
      <c r="C17" s="5">
        <v>1630000</v>
      </c>
    </row>
    <row r="18" spans="2:6" x14ac:dyDescent="0.25">
      <c r="B18" s="4" t="s">
        <v>9</v>
      </c>
      <c r="C18" s="5">
        <v>600000</v>
      </c>
      <c r="F1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9" workbookViewId="0">
      <selection activeCell="I28" sqref="I28"/>
    </sheetView>
  </sheetViews>
  <sheetFormatPr defaultRowHeight="15" x14ac:dyDescent="0.25"/>
  <cols>
    <col min="2" max="2" width="17.5703125" customWidth="1"/>
    <col min="10" max="10" width="11.85546875" customWidth="1"/>
  </cols>
  <sheetData>
    <row r="1" spans="1:14" x14ac:dyDescent="0.25">
      <c r="B1" t="s">
        <v>20</v>
      </c>
    </row>
    <row r="3" spans="1:14" x14ac:dyDescent="0.25">
      <c r="A3" s="1" t="s">
        <v>2</v>
      </c>
      <c r="B3" s="1" t="s">
        <v>3</v>
      </c>
      <c r="F3" t="s">
        <v>21</v>
      </c>
    </row>
    <row r="4" spans="1:14" x14ac:dyDescent="0.25">
      <c r="A4" s="4" t="s">
        <v>5</v>
      </c>
      <c r="B4" s="4" t="s">
        <v>6</v>
      </c>
      <c r="F4" t="s">
        <v>22</v>
      </c>
      <c r="N4" t="s">
        <v>23</v>
      </c>
    </row>
    <row r="5" spans="1:14" x14ac:dyDescent="0.25">
      <c r="A5" s="4" t="s">
        <v>7</v>
      </c>
      <c r="B5" s="4" t="s">
        <v>8</v>
      </c>
      <c r="F5" t="s">
        <v>24</v>
      </c>
      <c r="G5" t="s">
        <v>25</v>
      </c>
    </row>
    <row r="6" spans="1:14" x14ac:dyDescent="0.25">
      <c r="A6" s="4" t="s">
        <v>7</v>
      </c>
      <c r="B6" s="4" t="s">
        <v>6</v>
      </c>
      <c r="F6" t="s">
        <v>18</v>
      </c>
      <c r="N6" t="s">
        <v>26</v>
      </c>
    </row>
    <row r="7" spans="1:14" x14ac:dyDescent="0.25">
      <c r="A7" s="4" t="s">
        <v>7</v>
      </c>
      <c r="B7" s="4" t="s">
        <v>6</v>
      </c>
    </row>
    <row r="8" spans="1:14" x14ac:dyDescent="0.25">
      <c r="A8" s="4" t="s">
        <v>5</v>
      </c>
      <c r="B8" s="4" t="s">
        <v>9</v>
      </c>
    </row>
    <row r="9" spans="1:14" x14ac:dyDescent="0.25">
      <c r="A9" s="4" t="s">
        <v>5</v>
      </c>
      <c r="B9" s="4" t="s">
        <v>10</v>
      </c>
      <c r="F9" t="s">
        <v>27</v>
      </c>
    </row>
    <row r="10" spans="1:14" x14ac:dyDescent="0.25">
      <c r="A10" s="4" t="s">
        <v>7</v>
      </c>
      <c r="B10" s="4" t="s">
        <v>6</v>
      </c>
      <c r="F10" t="s">
        <v>28</v>
      </c>
    </row>
    <row r="11" spans="1:14" x14ac:dyDescent="0.25">
      <c r="A11" s="4" t="s">
        <v>5</v>
      </c>
      <c r="B11" s="4" t="s">
        <v>8</v>
      </c>
      <c r="F11" t="s">
        <v>29</v>
      </c>
    </row>
    <row r="12" spans="1:14" x14ac:dyDescent="0.25">
      <c r="A12" s="4" t="s">
        <v>7</v>
      </c>
      <c r="B12" s="4" t="s">
        <v>9</v>
      </c>
    </row>
    <row r="13" spans="1:14" x14ac:dyDescent="0.25">
      <c r="A13" s="4" t="s">
        <v>7</v>
      </c>
      <c r="B13" s="4" t="s">
        <v>9</v>
      </c>
    </row>
    <row r="14" spans="1:14" x14ac:dyDescent="0.25">
      <c r="A14" s="4" t="s">
        <v>5</v>
      </c>
      <c r="B14" s="4" t="s">
        <v>8</v>
      </c>
      <c r="F14" s="12" t="s">
        <v>30</v>
      </c>
    </row>
    <row r="15" spans="1:14" x14ac:dyDescent="0.25">
      <c r="A15" s="4" t="s">
        <v>7</v>
      </c>
      <c r="B15" s="4" t="s">
        <v>10</v>
      </c>
      <c r="F15" s="7"/>
      <c r="G15" s="13" t="s">
        <v>9</v>
      </c>
      <c r="H15" s="13" t="s">
        <v>6</v>
      </c>
      <c r="I15" s="13" t="s">
        <v>8</v>
      </c>
      <c r="J15" s="13" t="s">
        <v>10</v>
      </c>
      <c r="K15" s="14"/>
    </row>
    <row r="16" spans="1:14" x14ac:dyDescent="0.25">
      <c r="A16" s="4" t="s">
        <v>7</v>
      </c>
      <c r="B16" s="4" t="s">
        <v>9</v>
      </c>
      <c r="F16" s="7" t="s">
        <v>5</v>
      </c>
      <c r="G16" s="7">
        <v>1</v>
      </c>
      <c r="H16" s="7">
        <v>1</v>
      </c>
      <c r="I16" s="7">
        <v>2</v>
      </c>
      <c r="J16" s="7">
        <v>1</v>
      </c>
      <c r="K16" s="15">
        <v>5</v>
      </c>
    </row>
    <row r="17" spans="5:13" x14ac:dyDescent="0.25">
      <c r="F17" s="7" t="s">
        <v>7</v>
      </c>
      <c r="G17" s="7">
        <v>3</v>
      </c>
      <c r="H17" s="7">
        <v>3</v>
      </c>
      <c r="I17" s="7">
        <v>1</v>
      </c>
      <c r="J17" s="7">
        <v>1</v>
      </c>
      <c r="K17" s="15">
        <v>8</v>
      </c>
    </row>
    <row r="18" spans="5:13" x14ac:dyDescent="0.25">
      <c r="F18" s="15"/>
      <c r="G18" s="15">
        <v>4</v>
      </c>
      <c r="H18" s="15">
        <v>4</v>
      </c>
      <c r="I18" s="15">
        <v>3</v>
      </c>
      <c r="J18" s="15">
        <v>2</v>
      </c>
      <c r="K18" s="14">
        <v>13</v>
      </c>
      <c r="M18" t="s">
        <v>22</v>
      </c>
    </row>
    <row r="21" spans="5:13" x14ac:dyDescent="0.25">
      <c r="F21" s="12" t="s">
        <v>31</v>
      </c>
    </row>
    <row r="22" spans="5:13" x14ac:dyDescent="0.25">
      <c r="F22" s="7"/>
      <c r="G22" s="13" t="s">
        <v>9</v>
      </c>
      <c r="H22" s="13" t="s">
        <v>6</v>
      </c>
      <c r="I22" s="13" t="s">
        <v>8</v>
      </c>
      <c r="J22" s="13" t="s">
        <v>10</v>
      </c>
      <c r="K22" s="13"/>
    </row>
    <row r="23" spans="5:13" x14ac:dyDescent="0.25">
      <c r="F23" s="7" t="s">
        <v>5</v>
      </c>
      <c r="G23" s="7">
        <f>(K16*G18)/K18</f>
        <v>1.5384615384615385</v>
      </c>
      <c r="H23" s="7">
        <f>(K16*H18)/K18</f>
        <v>1.5384615384615385</v>
      </c>
      <c r="I23" s="7">
        <f>(K16*I18)/K18</f>
        <v>1.1538461538461537</v>
      </c>
      <c r="J23" s="7">
        <f>(K16*J18)/K18</f>
        <v>0.76923076923076927</v>
      </c>
      <c r="K23" s="7"/>
    </row>
    <row r="24" spans="5:13" x14ac:dyDescent="0.25">
      <c r="F24" s="7" t="s">
        <v>7</v>
      </c>
      <c r="G24" s="7">
        <f>(K17*G18)/K18</f>
        <v>2.4615384615384617</v>
      </c>
      <c r="H24" s="7">
        <f>(K17*H18)/K18</f>
        <v>2.4615384615384617</v>
      </c>
      <c r="I24" s="7">
        <f>(K17*I18)/K18</f>
        <v>1.8461538461538463</v>
      </c>
      <c r="J24" s="7">
        <f>(K17*J18)/K18</f>
        <v>1.2307692307692308</v>
      </c>
      <c r="K24" s="7"/>
    </row>
    <row r="25" spans="5:13" x14ac:dyDescent="0.25">
      <c r="F25" s="7"/>
      <c r="G25" s="7"/>
      <c r="H25" s="7"/>
      <c r="I25" s="7"/>
      <c r="J25" s="7"/>
      <c r="K25" s="7"/>
    </row>
    <row r="27" spans="5:13" x14ac:dyDescent="0.25">
      <c r="F27" t="s">
        <v>32</v>
      </c>
    </row>
    <row r="28" spans="5:13" x14ac:dyDescent="0.25">
      <c r="E2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T-test</vt:lpstr>
      <vt:lpstr>Paired T-test</vt:lpstr>
      <vt:lpstr>Anova</vt:lpstr>
      <vt:lpstr>Chi Square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2024-12-18T04:59:24Z</dcterms:created>
  <dcterms:modified xsi:type="dcterms:W3CDTF">2026-05-07T06:21:57Z</dcterms:modified>
</cp:coreProperties>
</file>